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 Drops" sheetId="1" state="visible" r:id="rId1"/>
    <sheet name="Rack Internal" sheetId="2" state="visible" r:id="rId2"/>
    <sheet name="Point to Point" sheetId="3" state="visible" r:id="rId3"/>
    <sheet name="Port Summary" sheetId="4" state="visible" r:id="rId4"/>
    <sheet name="Assumptions"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3"/>
    </font>
    <font>
      <name val="Arial"/>
      <b val="1"/>
      <sz val="11"/>
    </font>
    <font>
      <name val="Arial"/>
      <i val="1"/>
      <color rgb="00595959"/>
      <sz val="9"/>
    </font>
    <font>
      <name val="Arial"/>
      <b val="1"/>
      <color rgb="00FFFFFF"/>
      <sz val="10"/>
    </font>
    <font>
      <name val="Arial"/>
      <sz val="10"/>
    </font>
    <font>
      <name val="Arial"/>
      <i val="1"/>
      <sz val="9"/>
    </font>
    <font>
      <name val="Arial"/>
      <b val="1"/>
      <sz val="10"/>
    </font>
  </fonts>
  <fills count="7">
    <fill>
      <patternFill/>
    </fill>
    <fill>
      <patternFill patternType="gray125"/>
    </fill>
    <fill>
      <patternFill patternType="solid">
        <fgColor rgb="001F3864"/>
      </patternFill>
    </fill>
    <fill>
      <patternFill patternType="solid">
        <fgColor rgb="00FFF2CC"/>
      </patternFill>
    </fill>
    <fill>
      <patternFill patternType="solid">
        <fgColor rgb="00F2F2F2"/>
      </patternFill>
    </fill>
    <fill>
      <patternFill patternType="solid">
        <fgColor rgb="00FCE4D6"/>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vertical="top" wrapText="1"/>
    </xf>
    <xf numFmtId="0" fontId="5" fillId="4" borderId="1" applyAlignment="1" pivotButton="0" quotePrefix="0" xfId="0">
      <alignment vertical="top" wrapText="1"/>
    </xf>
    <xf numFmtId="0" fontId="5" fillId="0" borderId="1" applyAlignment="1" pivotButton="0" quotePrefix="0" xfId="0">
      <alignment vertical="top" wrapText="1"/>
    </xf>
    <xf numFmtId="0" fontId="6" fillId="0" borderId="0" pivotButton="0" quotePrefix="0" xfId="0"/>
    <xf numFmtId="0" fontId="5" fillId="5" borderId="1" applyAlignment="1" pivotButton="0" quotePrefix="0" xfId="0">
      <alignment vertical="top" wrapText="1"/>
    </xf>
    <xf numFmtId="0" fontId="5" fillId="0" borderId="1" applyAlignment="1" pivotButton="0" quotePrefix="0" xfId="0">
      <alignment horizontal="left"/>
    </xf>
    <xf numFmtId="0" fontId="5" fillId="0" borderId="1" applyAlignment="1" pivotButton="0" quotePrefix="0" xfId="0">
      <alignment horizontal="center"/>
    </xf>
    <xf numFmtId="0" fontId="7" fillId="6" borderId="1" applyAlignment="1" pivotButton="0" quotePrefix="0" xfId="0">
      <alignment horizontal="left"/>
    </xf>
    <xf numFmtId="0" fontId="7" fillId="6" borderId="1" applyAlignment="1" pivotButton="0" quotePrefix="0" xfId="0">
      <alignment horizontal="center"/>
    </xf>
    <xf numFmtId="0" fontId="5" fillId="0" borderId="0" applyAlignment="1" pivotButton="0" quotePrefix="0" xfId="0">
      <alignment horizontal="left"/>
    </xf>
    <xf numFmtId="0" fontId="5" fillId="0" borderId="0" applyAlignment="1" pivotButton="0" quotePrefix="0" xfId="0">
      <alignment horizontal="center"/>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pane ySplit="5" topLeftCell="A6" activePane="bottomLeft" state="frozen"/>
      <selection pane="bottomLeft" activeCell="A1" sqref="A1"/>
    </sheetView>
  </sheetViews>
  <sheetFormatPr baseColWidth="8" defaultRowHeight="15"/>
  <cols>
    <col width="8" customWidth="1" min="1" max="1"/>
    <col width="11" customWidth="1" min="2" max="2"/>
    <col width="34" customWidth="1" min="3" max="3"/>
    <col width="34" customWidth="1" min="4" max="4"/>
    <col width="10" customWidth="1" min="5" max="5"/>
    <col width="14" customWidth="1" min="6" max="6"/>
    <col width="13" customWidth="1" min="7" max="7"/>
    <col width="40" customWidth="1" min="8" max="8"/>
  </cols>
  <sheetData>
    <row r="1">
      <c r="A1" s="1" t="inlineStr">
        <is>
          <t>ALLSHORES  |  EXECUTIVE BOARDROOM</t>
        </is>
      </c>
    </row>
    <row r="2">
      <c r="A2" s="2" t="inlineStr">
        <is>
          <t>NETWORK PATCH LIST - FIELD DROPS (via patch panel)</t>
        </is>
      </c>
    </row>
    <row r="3">
      <c r="A3" s="3" t="inlineStr">
        <is>
          <t>Rev. 1  |  26/08/24  |  WW  |  Shaded rows need a decision before rough-in - see ASSUMPTIONS tab</t>
        </is>
      </c>
    </row>
    <row r="5">
      <c r="A5" s="4" t="inlineStr">
        <is>
          <t>PANEL
PORT</t>
        </is>
      </c>
      <c r="B5" s="4" t="inlineStr">
        <is>
          <t>CABLE ID</t>
        </is>
      </c>
      <c r="C5" s="4" t="inlineStr">
        <is>
          <t>LOCATION</t>
        </is>
      </c>
      <c r="D5" s="4" t="inlineStr">
        <is>
          <t>DEVICE / TERMINATION</t>
        </is>
      </c>
      <c r="E5" s="4" t="inlineStr">
        <is>
          <t>CABLE</t>
        </is>
      </c>
      <c r="F5" s="4" t="inlineStr">
        <is>
          <t>PoE</t>
        </is>
      </c>
      <c r="G5" s="4" t="inlineStr">
        <is>
          <t>SWITCH PORT</t>
        </is>
      </c>
      <c r="H5" s="4" t="inlineStr">
        <is>
          <t>NOTES</t>
        </is>
      </c>
    </row>
    <row r="6">
      <c r="A6" s="5" t="n">
        <v>1</v>
      </c>
      <c r="B6" s="5" t="inlineStr">
        <is>
          <t>CLG-01</t>
        </is>
      </c>
      <c r="C6" s="5" t="inlineStr">
        <is>
          <t>Ceiling - mic position 1</t>
        </is>
      </c>
      <c r="D6" s="5" t="inlineStr">
        <is>
          <t>Shure MXA925 (1 of 2)</t>
        </is>
      </c>
      <c r="E6" s="5" t="inlineStr">
        <is>
          <t>CAT6</t>
        </is>
      </c>
      <c r="F6" s="5" t="inlineStr">
        <is>
          <t>PoE 802.3af</t>
        </is>
      </c>
      <c r="G6" s="5" t="inlineStr">
        <is>
          <t>SW-1 P1</t>
        </is>
      </c>
      <c r="H6" s="5" t="inlineStr">
        <is>
          <t>4x4 ceiling tile detail TBC by others</t>
        </is>
      </c>
    </row>
    <row r="7">
      <c r="A7" s="5" t="n">
        <v>2</v>
      </c>
      <c r="B7" s="5" t="inlineStr">
        <is>
          <t>CLG-02</t>
        </is>
      </c>
      <c r="C7" s="5" t="inlineStr">
        <is>
          <t>Ceiling - mic position 2</t>
        </is>
      </c>
      <c r="D7" s="5" t="inlineStr">
        <is>
          <t>Shure MXA925 (2 of 2)</t>
        </is>
      </c>
      <c r="E7" s="5" t="inlineStr">
        <is>
          <t>CAT6</t>
        </is>
      </c>
      <c r="F7" s="5" t="inlineStr">
        <is>
          <t>PoE 802.3af</t>
        </is>
      </c>
      <c r="G7" s="5" t="inlineStr">
        <is>
          <t>SW-1 P2</t>
        </is>
      </c>
      <c r="H7" s="5" t="inlineStr">
        <is>
          <t>4x4 ceiling tile detail TBC by others</t>
        </is>
      </c>
    </row>
    <row r="8">
      <c r="A8" s="6" t="n">
        <v>3</v>
      </c>
      <c r="B8" s="6" t="inlineStr">
        <is>
          <t>CLG-03</t>
        </is>
      </c>
      <c r="C8" s="6" t="inlineStr">
        <is>
          <t>Ceiling - room centre</t>
        </is>
      </c>
      <c r="D8" s="6" t="inlineStr">
        <is>
          <t>SPARE</t>
        </is>
      </c>
      <c r="E8" s="6" t="inlineStr">
        <is>
          <t>CAT6</t>
        </is>
      </c>
      <c r="F8" s="6" t="inlineStr">
        <is>
          <t>-</t>
        </is>
      </c>
      <c r="G8" s="6" t="inlineStr">
        <is>
          <t>-</t>
        </is>
      </c>
      <c r="H8" s="6" t="inlineStr">
        <is>
          <t>Pull, terminate, leave dark</t>
        </is>
      </c>
    </row>
    <row r="9">
      <c r="A9" s="5" t="n">
        <v>4</v>
      </c>
      <c r="B9" s="5" t="inlineStr">
        <is>
          <t>FW-01</t>
        </is>
      </c>
      <c r="C9" s="5" t="inlineStr">
        <is>
          <t>Front wall - 98" display 1</t>
        </is>
      </c>
      <c r="D9" s="5" t="inlineStr">
        <is>
          <t>DM-NVX-D30C via HDMI, or D30 box</t>
        </is>
      </c>
      <c r="E9" s="5" t="inlineStr">
        <is>
          <t>CAT6</t>
        </is>
      </c>
      <c r="F9" s="5" t="inlineStr">
        <is>
          <t>PoE+ 802.3at</t>
        </is>
      </c>
      <c r="G9" s="5" t="inlineStr">
        <is>
          <t>SW-1 P3</t>
        </is>
      </c>
      <c r="H9" s="5" t="inlineStr">
        <is>
          <t>See NVX topology assumption</t>
        </is>
      </c>
    </row>
    <row r="10">
      <c r="A10" s="5" t="n">
        <v>5</v>
      </c>
      <c r="B10" s="5" t="inlineStr">
        <is>
          <t>FW-02</t>
        </is>
      </c>
      <c r="C10" s="5" t="inlineStr">
        <is>
          <t>Front wall - 98" display 2</t>
        </is>
      </c>
      <c r="D10" s="5" t="inlineStr">
        <is>
          <t>DM-NVX-D30C via HDMI, or D30 box</t>
        </is>
      </c>
      <c r="E10" s="5" t="inlineStr">
        <is>
          <t>CAT6</t>
        </is>
      </c>
      <c r="F10" s="5" t="inlineStr">
        <is>
          <t>PoE+ 802.3at</t>
        </is>
      </c>
      <c r="G10" s="5" t="inlineStr">
        <is>
          <t>SW-1 P4</t>
        </is>
      </c>
      <c r="H10" s="5" t="inlineStr">
        <is>
          <t>See NVX topology assumption</t>
        </is>
      </c>
    </row>
    <row r="11">
      <c r="A11" s="7" t="n">
        <v>6</v>
      </c>
      <c r="B11" s="7" t="inlineStr">
        <is>
          <t>FW-03</t>
        </is>
      </c>
      <c r="C11" s="7" t="inlineStr">
        <is>
          <t>Front wall - camera position</t>
        </is>
      </c>
      <c r="D11" s="7" t="inlineStr">
        <is>
          <t>AVer CAM570 (1 of 2) - control</t>
        </is>
      </c>
      <c r="E11" s="7" t="inlineStr">
        <is>
          <t>CAT6</t>
        </is>
      </c>
      <c r="F11" s="7" t="inlineStr">
        <is>
          <t>-</t>
        </is>
      </c>
      <c r="G11" s="7" t="inlineStr">
        <is>
          <t>SW-2 P19</t>
        </is>
      </c>
      <c r="H11" s="7" t="inlineStr">
        <is>
          <t>Camera VIDEO is USB, separate run</t>
        </is>
      </c>
    </row>
    <row r="12">
      <c r="A12" s="6" t="n">
        <v>7</v>
      </c>
      <c r="B12" s="6" t="inlineStr">
        <is>
          <t>FW-04</t>
        </is>
      </c>
      <c r="C12" s="6" t="inlineStr">
        <is>
          <t>Front wall - credenza</t>
        </is>
      </c>
      <c r="D12" s="6" t="inlineStr">
        <is>
          <t>SPARE</t>
        </is>
      </c>
      <c r="E12" s="6" t="inlineStr">
        <is>
          <t>CAT6</t>
        </is>
      </c>
      <c r="F12" s="6" t="inlineStr">
        <is>
          <t>-</t>
        </is>
      </c>
      <c r="G12" s="6" t="inlineStr">
        <is>
          <t>-</t>
        </is>
      </c>
      <c r="H12" s="6" t="inlineStr">
        <is>
          <t>Pull, terminate, leave dark</t>
        </is>
      </c>
    </row>
    <row r="13">
      <c r="A13" s="7" t="n">
        <v>8</v>
      </c>
      <c r="B13" s="7" t="inlineStr">
        <is>
          <t>RW-01</t>
        </is>
      </c>
      <c r="C13" s="7" t="inlineStr">
        <is>
          <t>Rear wall - LV box, 9'-10 29/32" / 5'-5 11/16" AFF</t>
        </is>
      </c>
      <c r="D13" s="7" t="inlineStr">
        <is>
          <t>DM-NVX-D30 box - 85" display</t>
        </is>
      </c>
      <c r="E13" s="7" t="inlineStr">
        <is>
          <t>CAT6</t>
        </is>
      </c>
      <c r="F13" s="7" t="inlineStr">
        <is>
          <t>PoE+ 802.3at</t>
        </is>
      </c>
      <c r="G13" s="7" t="inlineStr">
        <is>
          <t>SW-1 P5</t>
        </is>
      </c>
      <c r="H13" s="7" t="inlineStr">
        <is>
          <t>Decoder at the display - 42 ft from rack</t>
        </is>
      </c>
    </row>
    <row r="14">
      <c r="A14" s="7" t="n">
        <v>9</v>
      </c>
      <c r="B14" s="7" t="inlineStr">
        <is>
          <t>RW-02</t>
        </is>
      </c>
      <c r="C14" s="7" t="inlineStr">
        <is>
          <t>Rear wall - above display</t>
        </is>
      </c>
      <c r="D14" s="7" t="inlineStr">
        <is>
          <t>AVer CAM570 (2 of 2) - control</t>
        </is>
      </c>
      <c r="E14" s="7" t="inlineStr">
        <is>
          <t>CAT6</t>
        </is>
      </c>
      <c r="F14" s="7" t="inlineStr">
        <is>
          <t>-</t>
        </is>
      </c>
      <c r="G14" s="7" t="inlineStr">
        <is>
          <t>SW-2 P20</t>
        </is>
      </c>
      <c r="H14" s="7" t="inlineStr">
        <is>
          <t>Camera VIDEO is USB, separate run</t>
        </is>
      </c>
    </row>
    <row r="15">
      <c r="A15" s="6" t="n">
        <v>10</v>
      </c>
      <c r="B15" s="6" t="inlineStr">
        <is>
          <t>RW-03</t>
        </is>
      </c>
      <c r="C15" s="6" t="inlineStr">
        <is>
          <t>Rear wall - LV box</t>
        </is>
      </c>
      <c r="D15" s="6" t="inlineStr">
        <is>
          <t>SPARE</t>
        </is>
      </c>
      <c r="E15" s="6" t="inlineStr">
        <is>
          <t>CAT6</t>
        </is>
      </c>
      <c r="F15" s="6" t="inlineStr">
        <is>
          <t>-</t>
        </is>
      </c>
      <c r="G15" s="6" t="inlineStr">
        <is>
          <t>-</t>
        </is>
      </c>
      <c r="H15" s="6" t="inlineStr">
        <is>
          <t>Pull, terminate, leave dark</t>
        </is>
      </c>
    </row>
    <row r="16">
      <c r="A16" s="7" t="n">
        <v>11</v>
      </c>
      <c r="B16" s="7" t="inlineStr">
        <is>
          <t>TBL-01</t>
        </is>
      </c>
      <c r="C16" s="7" t="inlineStr">
        <is>
          <t>Table - centre floor box</t>
        </is>
      </c>
      <c r="D16" s="7" t="inlineStr">
        <is>
          <t>Lenovo IP Controller</t>
        </is>
      </c>
      <c r="E16" s="7" t="inlineStr">
        <is>
          <t>CAT6</t>
        </is>
      </c>
      <c r="F16" s="7" t="inlineStr">
        <is>
          <t>PoE 802.3af</t>
        </is>
      </c>
      <c r="G16" s="7" t="inlineStr">
        <is>
          <t>SW-1 P6</t>
        </is>
      </c>
      <c r="H16" s="7" t="inlineStr">
        <is>
          <t>Table touch panel</t>
        </is>
      </c>
    </row>
    <row r="17">
      <c r="A17" s="5" t="n">
        <v>12</v>
      </c>
      <c r="B17" s="5" t="inlineStr">
        <is>
          <t>TBL-02</t>
        </is>
      </c>
      <c r="C17" s="5" t="inlineStr">
        <is>
          <t>Table - centre floor box</t>
        </is>
      </c>
      <c r="D17" s="5" t="inlineStr">
        <is>
          <t>DM-NVX-E30 box - BYOD input</t>
        </is>
      </c>
      <c r="E17" s="5" t="inlineStr">
        <is>
          <t>CAT6</t>
        </is>
      </c>
      <c r="F17" s="5" t="inlineStr">
        <is>
          <t>PoE+ 802.3at</t>
        </is>
      </c>
      <c r="G17" s="5" t="inlineStr">
        <is>
          <t>SW-1 P7</t>
        </is>
      </c>
      <c r="H17" s="5" t="inlineStr">
        <is>
          <t>See NVX topology assumption</t>
        </is>
      </c>
    </row>
    <row r="18">
      <c r="A18" s="6" t="n">
        <v>13</v>
      </c>
      <c r="B18" s="6" t="inlineStr">
        <is>
          <t>TBL-03</t>
        </is>
      </c>
      <c r="C18" s="6" t="inlineStr">
        <is>
          <t>Table - centre floor box</t>
        </is>
      </c>
      <c r="D18" s="6" t="inlineStr">
        <is>
          <t>SPARE</t>
        </is>
      </c>
      <c r="E18" s="6" t="inlineStr">
        <is>
          <t>CAT6</t>
        </is>
      </c>
      <c r="F18" s="6" t="inlineStr">
        <is>
          <t>-</t>
        </is>
      </c>
      <c r="G18" s="6" t="inlineStr">
        <is>
          <t>-</t>
        </is>
      </c>
      <c r="H18" s="6" t="inlineStr">
        <is>
          <t>Pull, terminate, leave dark</t>
        </is>
      </c>
    </row>
    <row r="19">
      <c r="A19" s="5" t="n">
        <v>14</v>
      </c>
      <c r="B19" s="5" t="inlineStr">
        <is>
          <t>LAN-01</t>
        </is>
      </c>
      <c r="C19" s="5" t="inlineStr">
        <is>
          <t>House LAN demarc</t>
        </is>
      </c>
      <c r="D19" s="5" t="inlineStr">
        <is>
          <t>Client network uplink</t>
        </is>
      </c>
      <c r="E19" s="5" t="inlineStr">
        <is>
          <t>CAT6</t>
        </is>
      </c>
      <c r="F19" s="5" t="inlineStr">
        <is>
          <t>-</t>
        </is>
      </c>
      <c r="G19" s="5" t="inlineStr">
        <is>
          <t>SW-2 P21</t>
        </is>
      </c>
      <c r="H19" s="5" t="inlineStr">
        <is>
          <t>Coordinate VLAN and IP scheme with client IT</t>
        </is>
      </c>
    </row>
    <row r="21">
      <c r="A21" s="8" t="inlineStr">
        <is>
          <t>Ports 15-24 spare on the 24-port panel.</t>
        </is>
      </c>
    </row>
    <row r="22">
      <c r="A22" s="8" t="inlineStr">
        <is>
          <t>LEGEND:  yellow = confirm before rough-in   |   grey = spare drop, pull and terminate   |   PoE column drives which switch the drop patches 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workbookViewId="0">
      <pane ySplit="5" topLeftCell="A6" activePane="bottomLeft" state="frozen"/>
      <selection pane="bottomLeft" activeCell="A1" sqref="A1"/>
    </sheetView>
  </sheetViews>
  <sheetFormatPr baseColWidth="8" defaultRowHeight="15"/>
  <cols>
    <col width="11" customWidth="1" min="1" max="1"/>
    <col width="42" customWidth="1" min="2" max="2"/>
    <col width="11" customWidth="1" min="3" max="3"/>
    <col width="15" customWidth="1" min="4" max="4"/>
    <col width="8" customWidth="1" min="5" max="5"/>
    <col width="44" customWidth="1" min="6" max="6"/>
  </cols>
  <sheetData>
    <row r="1">
      <c r="A1" s="1" t="inlineStr">
        <is>
          <t>ALLSHORES  |  EXECUTIVE BOARDROOM</t>
        </is>
      </c>
    </row>
    <row r="2">
      <c r="A2" s="2" t="inlineStr">
        <is>
          <t>NETWORK PATCH LIST - RACK INTERNAL (device to switch, no panel)</t>
        </is>
      </c>
    </row>
    <row r="3">
      <c r="A3" s="3" t="inlineStr">
        <is>
          <t>These do NOT consume patch panel ports. Patch cords inside the cabinet only.</t>
        </is>
      </c>
    </row>
    <row r="5">
      <c r="A5" s="4" t="inlineStr">
        <is>
          <t>CABLE ID</t>
        </is>
      </c>
      <c r="B5" s="4" t="inlineStr">
        <is>
          <t>DEVICE</t>
        </is>
      </c>
      <c r="C5" s="4" t="inlineStr">
        <is>
          <t>RU</t>
        </is>
      </c>
      <c r="D5" s="4" t="inlineStr">
        <is>
          <t>SWITCH PORT</t>
        </is>
      </c>
      <c r="E5" s="4" t="inlineStr">
        <is>
          <t>PoE</t>
        </is>
      </c>
      <c r="F5" s="4" t="inlineStr">
        <is>
          <t>NOTES</t>
        </is>
      </c>
    </row>
    <row r="6">
      <c r="A6" s="7" t="inlineStr">
        <is>
          <t>R-01</t>
        </is>
      </c>
      <c r="B6" s="7" t="inlineStr">
        <is>
          <t>Crestron DM-NVX-E30C - chassis slot 1</t>
        </is>
      </c>
      <c r="C6" s="7" t="inlineStr">
        <is>
          <t>U12-13</t>
        </is>
      </c>
      <c r="D6" s="7" t="inlineStr">
        <is>
          <t>SW-2 P1</t>
        </is>
      </c>
      <c r="E6" s="7" t="inlineStr">
        <is>
          <t>-</t>
        </is>
      </c>
      <c r="F6" s="7" t="inlineStr">
        <is>
          <t>Each NVX card has its own rear LAN port</t>
        </is>
      </c>
    </row>
    <row r="7">
      <c r="A7" s="7" t="inlineStr">
        <is>
          <t>R-02</t>
        </is>
      </c>
      <c r="B7" s="7" t="inlineStr">
        <is>
          <t>Crestron DM-NVX-E30C - chassis slot 2</t>
        </is>
      </c>
      <c r="C7" s="7" t="inlineStr">
        <is>
          <t>U12-13</t>
        </is>
      </c>
      <c r="D7" s="7" t="inlineStr">
        <is>
          <t>SW-2 P2</t>
        </is>
      </c>
      <c r="E7" s="7" t="inlineStr">
        <is>
          <t>-</t>
        </is>
      </c>
      <c r="F7" s="7" t="inlineStr"/>
    </row>
    <row r="8">
      <c r="A8" s="7" t="inlineStr">
        <is>
          <t>R-03</t>
        </is>
      </c>
      <c r="B8" s="7" t="inlineStr">
        <is>
          <t>Crestron DM-NVX-E30C - chassis slot 3</t>
        </is>
      </c>
      <c r="C8" s="7" t="inlineStr">
        <is>
          <t>U12-13</t>
        </is>
      </c>
      <c r="D8" s="7" t="inlineStr">
        <is>
          <t>SW-2 P3</t>
        </is>
      </c>
      <c r="E8" s="7" t="inlineStr">
        <is>
          <t>-</t>
        </is>
      </c>
      <c r="F8" s="7" t="inlineStr"/>
    </row>
    <row r="9">
      <c r="A9" s="7" t="inlineStr">
        <is>
          <t>R-04</t>
        </is>
      </c>
      <c r="B9" s="7" t="inlineStr">
        <is>
          <t>Crestron DM-NVX-E30C - chassis slot 4</t>
        </is>
      </c>
      <c r="C9" s="7" t="inlineStr">
        <is>
          <t>U12-13</t>
        </is>
      </c>
      <c r="D9" s="7" t="inlineStr">
        <is>
          <t>SW-2 P4</t>
        </is>
      </c>
      <c r="E9" s="7" t="inlineStr">
        <is>
          <t>-</t>
        </is>
      </c>
      <c r="F9" s="7" t="inlineStr"/>
    </row>
    <row r="10">
      <c r="A10" s="7" t="inlineStr">
        <is>
          <t>R-05</t>
        </is>
      </c>
      <c r="B10" s="7" t="inlineStr">
        <is>
          <t>Crestron DM-NVX-D30C - chassis slot 5</t>
        </is>
      </c>
      <c r="C10" s="7" t="inlineStr">
        <is>
          <t>U12-13</t>
        </is>
      </c>
      <c r="D10" s="7" t="inlineStr">
        <is>
          <t>SW-2 P5</t>
        </is>
      </c>
      <c r="E10" s="7" t="inlineStr">
        <is>
          <t>-</t>
        </is>
      </c>
      <c r="F10" s="7" t="inlineStr"/>
    </row>
    <row r="11">
      <c r="A11" s="7" t="inlineStr">
        <is>
          <t>R-06</t>
        </is>
      </c>
      <c r="B11" s="7" t="inlineStr">
        <is>
          <t>Crestron DM-NVX-D30C - chassis slot 6</t>
        </is>
      </c>
      <c r="C11" s="7" t="inlineStr">
        <is>
          <t>U12-13</t>
        </is>
      </c>
      <c r="D11" s="7" t="inlineStr">
        <is>
          <t>SW-2 P6</t>
        </is>
      </c>
      <c r="E11" s="7" t="inlineStr">
        <is>
          <t>-</t>
        </is>
      </c>
      <c r="F11" s="7" t="inlineStr"/>
    </row>
    <row r="12">
      <c r="A12" s="7" t="inlineStr">
        <is>
          <t>R-07</t>
        </is>
      </c>
      <c r="B12" s="7" t="inlineStr">
        <is>
          <t>Crestron CP4 control processor</t>
        </is>
      </c>
      <c r="C12" s="7" t="inlineStr">
        <is>
          <t>U11</t>
        </is>
      </c>
      <c r="D12" s="7" t="inlineStr">
        <is>
          <t>SW-2 P7</t>
        </is>
      </c>
      <c r="E12" s="7" t="inlineStr">
        <is>
          <t>-</t>
        </is>
      </c>
      <c r="F12" s="7" t="inlineStr"/>
    </row>
    <row r="13">
      <c r="A13" s="7" t="inlineStr">
        <is>
          <t>R-08</t>
        </is>
      </c>
      <c r="B13" s="7" t="inlineStr">
        <is>
          <t>Crestron USB-SW-400</t>
        </is>
      </c>
      <c r="C13" s="7" t="inlineStr">
        <is>
          <t>U10</t>
        </is>
      </c>
      <c r="D13" s="7" t="inlineStr">
        <is>
          <t>SW-2 P8</t>
        </is>
      </c>
      <c r="E13" s="7" t="inlineStr">
        <is>
          <t>-</t>
        </is>
      </c>
      <c r="F13" s="7" t="inlineStr">
        <is>
          <t>Control / configuration</t>
        </is>
      </c>
    </row>
    <row r="14">
      <c r="A14" s="7" t="inlineStr">
        <is>
          <t>R-09</t>
        </is>
      </c>
      <c r="B14" s="7" t="inlineStr">
        <is>
          <t>Shure IntelliMix P300</t>
        </is>
      </c>
      <c r="C14" s="7" t="inlineStr">
        <is>
          <t>U9</t>
        </is>
      </c>
      <c r="D14" s="7" t="inlineStr">
        <is>
          <t>SW-2 P9</t>
        </is>
      </c>
      <c r="E14" s="7" t="inlineStr">
        <is>
          <t>-</t>
        </is>
      </c>
      <c r="F14" s="7" t="inlineStr">
        <is>
          <t>Control plus AES67 / Dante audio to the mics</t>
        </is>
      </c>
    </row>
    <row r="15">
      <c r="A15" s="7" t="inlineStr">
        <is>
          <t>R-10</t>
        </is>
      </c>
      <c r="B15" s="7" t="inlineStr">
        <is>
          <t>Crestron AMP-X300 (1 of 2)</t>
        </is>
      </c>
      <c r="C15" s="7" t="inlineStr">
        <is>
          <t>U7</t>
        </is>
      </c>
      <c r="D15" s="7" t="inlineStr">
        <is>
          <t>SW-2 P10</t>
        </is>
      </c>
      <c r="E15" s="7" t="inlineStr">
        <is>
          <t>-</t>
        </is>
      </c>
      <c r="F15" s="7" t="inlineStr"/>
    </row>
    <row r="16">
      <c r="A16" s="7" t="inlineStr">
        <is>
          <t>R-11</t>
        </is>
      </c>
      <c r="B16" s="7" t="inlineStr">
        <is>
          <t>Crestron AMP-X300 (2 of 2)</t>
        </is>
      </c>
      <c r="C16" s="7" t="inlineStr">
        <is>
          <t>U7</t>
        </is>
      </c>
      <c r="D16" s="7" t="inlineStr">
        <is>
          <t>SW-2 P11</t>
        </is>
      </c>
      <c r="E16" s="7" t="inlineStr">
        <is>
          <t>-</t>
        </is>
      </c>
      <c r="F16" s="7" t="inlineStr"/>
    </row>
    <row r="17">
      <c r="A17" s="7" t="inlineStr">
        <is>
          <t>R-12</t>
        </is>
      </c>
      <c r="B17" s="7" t="inlineStr">
        <is>
          <t>Lenovo ThinkSmart Core Gen 2</t>
        </is>
      </c>
      <c r="C17" s="7" t="inlineStr">
        <is>
          <t>U5</t>
        </is>
      </c>
      <c r="D17" s="7" t="inlineStr">
        <is>
          <t>SW-2 P12</t>
        </is>
      </c>
      <c r="E17" s="7" t="inlineStr">
        <is>
          <t>-</t>
        </is>
      </c>
      <c r="F17" s="7" t="inlineStr">
        <is>
          <t>Teams Rooms host</t>
        </is>
      </c>
    </row>
    <row r="18">
      <c r="A18" s="5" t="inlineStr">
        <is>
          <t>R-13</t>
        </is>
      </c>
      <c r="B18" s="5" t="inlineStr">
        <is>
          <t>AVer HUB30</t>
        </is>
      </c>
      <c r="C18" s="5" t="inlineStr">
        <is>
          <t>U4</t>
        </is>
      </c>
      <c r="D18" s="5" t="inlineStr">
        <is>
          <t>SW-2 P13</t>
        </is>
      </c>
      <c r="E18" s="5" t="inlineStr">
        <is>
          <t>-</t>
        </is>
      </c>
      <c r="F18" s="5" t="inlineStr">
        <is>
          <t>Confirm the HUB30 has a control LAN port</t>
        </is>
      </c>
    </row>
    <row r="19">
      <c r="A19" s="5" t="inlineStr">
        <is>
          <t>R-14</t>
        </is>
      </c>
      <c r="B19" s="5" t="inlineStr">
        <is>
          <t>Crestron AM3-212 AirMedia receiver</t>
        </is>
      </c>
      <c r="C19" s="5" t="inlineStr">
        <is>
          <t>U3</t>
        </is>
      </c>
      <c r="D19" s="5" t="inlineStr">
        <is>
          <t>SW-2 P14</t>
        </is>
      </c>
      <c r="E19" s="5" t="inlineStr">
        <is>
          <t>-</t>
        </is>
      </c>
      <c r="F19" s="5" t="inlineStr">
        <is>
          <t>Listed twice on the equipment list - drawn as one</t>
        </is>
      </c>
    </row>
    <row r="20">
      <c r="A20" s="5" t="inlineStr">
        <is>
          <t>R-15</t>
        </is>
      </c>
      <c r="B20" s="5" t="inlineStr">
        <is>
          <t>WattBox WB-800-IPVM-6 (1 of 2)</t>
        </is>
      </c>
      <c r="C20" s="5" t="inlineStr">
        <is>
          <t>0U rear</t>
        </is>
      </c>
      <c r="D20" s="5" t="inlineStr">
        <is>
          <t>SW-2 P15</t>
        </is>
      </c>
      <c r="E20" s="5" t="inlineStr">
        <is>
          <t>-</t>
        </is>
      </c>
      <c r="F20" s="5" t="inlineStr">
        <is>
          <t>Qty may drop - see 2nd floor exclusion</t>
        </is>
      </c>
    </row>
    <row r="21">
      <c r="A21" s="5" t="inlineStr">
        <is>
          <t>R-16</t>
        </is>
      </c>
      <c r="B21" s="5" t="inlineStr">
        <is>
          <t>WattBox WB-800-IPVM-6 (2 of 2)</t>
        </is>
      </c>
      <c r="C21" s="5" t="inlineStr">
        <is>
          <t>0U rear</t>
        </is>
      </c>
      <c r="D21" s="5" t="inlineStr">
        <is>
          <t>SW-2 P16</t>
        </is>
      </c>
      <c r="E21" s="5" t="inlineStr">
        <is>
          <t>-</t>
        </is>
      </c>
      <c r="F21" s="5" t="inlineStr">
        <is>
          <t>Qty may drop - see 2nd floor exclusion</t>
        </is>
      </c>
    </row>
    <row r="22">
      <c r="A22" s="5" t="inlineStr">
        <is>
          <t>R-17</t>
        </is>
      </c>
      <c r="B22" s="5" t="inlineStr">
        <is>
          <t>WattBox WB-250-IPW-2 (1 of 2)</t>
        </is>
      </c>
      <c r="C22" s="5" t="inlineStr">
        <is>
          <t>0U rear</t>
        </is>
      </c>
      <c r="D22" s="5" t="inlineStr">
        <is>
          <t>SW-2 P17</t>
        </is>
      </c>
      <c r="E22" s="5" t="inlineStr">
        <is>
          <t>-</t>
        </is>
      </c>
      <c r="F22" s="5" t="inlineStr">
        <is>
          <t>Qty may drop - see 2nd floor exclusion</t>
        </is>
      </c>
    </row>
    <row r="23">
      <c r="A23" s="5" t="inlineStr">
        <is>
          <t>R-18</t>
        </is>
      </c>
      <c r="B23" s="5" t="inlineStr">
        <is>
          <t>WattBox WB-250-IPW-2 (2 of 2)</t>
        </is>
      </c>
      <c r="C23" s="5" t="inlineStr">
        <is>
          <t>0U rear</t>
        </is>
      </c>
      <c r="D23" s="5" t="inlineStr">
        <is>
          <t>SW-2 P18</t>
        </is>
      </c>
      <c r="E23" s="5" t="inlineStr">
        <is>
          <t>-</t>
        </is>
      </c>
      <c r="F23" s="5" t="inlineStr">
        <is>
          <t>Qty may drop - see 2nd floor exclusion</t>
        </is>
      </c>
    </row>
    <row r="24">
      <c r="A24" s="7" t="inlineStr">
        <is>
          <t>R-19</t>
        </is>
      </c>
      <c r="B24" s="7" t="inlineStr">
        <is>
          <t>SW-1 to SW-2 inter-switch link</t>
        </is>
      </c>
      <c r="C24" s="7" t="inlineStr">
        <is>
          <t>U15-16</t>
        </is>
      </c>
      <c r="D24" s="7" t="inlineStr">
        <is>
          <t>SFP+ to SFP+</t>
        </is>
      </c>
      <c r="E24" s="7" t="inlineStr">
        <is>
          <t>-</t>
        </is>
      </c>
      <c r="F24" s="7" t="inlineStr">
        <is>
          <t>10G DAC or fibre - do not trunk over copper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pane ySplit="5" topLeftCell="A6" activePane="bottomLeft" state="frozen"/>
      <selection pane="bottomLeft" activeCell="A1" sqref="A1"/>
    </sheetView>
  </sheetViews>
  <sheetFormatPr baseColWidth="8" defaultRowHeight="15"/>
  <cols>
    <col width="11" customWidth="1" min="1" max="1"/>
    <col width="44" customWidth="1" min="2" max="2"/>
    <col width="38" customWidth="1" min="3" max="3"/>
    <col width="52" customWidth="1" min="4" max="4"/>
  </cols>
  <sheetData>
    <row r="1">
      <c r="A1" s="1" t="inlineStr">
        <is>
          <t>ALLSHORES  |  EXECUTIVE BOARDROOM</t>
        </is>
      </c>
    </row>
    <row r="2">
      <c r="A2" s="2" t="inlineStr">
        <is>
          <t>POINT TO POINT RUNS - NOT SWITCHED</t>
        </is>
      </c>
    </row>
    <row r="3">
      <c r="A3" s="3" t="inlineStr">
        <is>
          <t>USB and HDMI runs. These must NOT be patched into a network switch.</t>
        </is>
      </c>
    </row>
    <row r="5">
      <c r="A5" s="4" t="inlineStr">
        <is>
          <t>CABLE ID</t>
        </is>
      </c>
      <c r="B5" s="4" t="inlineStr">
        <is>
          <t>RUN</t>
        </is>
      </c>
      <c r="C5" s="4" t="inlineStr">
        <is>
          <t>CABLE</t>
        </is>
      </c>
      <c r="D5" s="4" t="inlineStr">
        <is>
          <t>NOTES</t>
        </is>
      </c>
    </row>
    <row r="6">
      <c r="A6" s="7" t="inlineStr">
        <is>
          <t>USB-01</t>
        </is>
      </c>
      <c r="B6" s="7" t="inlineStr">
        <is>
          <t>Front camera position to rack (AVer HUB30)</t>
        </is>
      </c>
      <c r="C6" s="7" t="inlineStr">
        <is>
          <t>USB 3.0 active, or extender over CAT6</t>
        </is>
      </c>
      <c r="D6" s="7" t="inlineStr">
        <is>
          <t>Approx. 12 ft - within active-cable range</t>
        </is>
      </c>
    </row>
    <row r="7">
      <c r="A7" s="9" t="inlineStr">
        <is>
          <t>USB-02</t>
        </is>
      </c>
      <c r="B7" s="9" t="inlineStr">
        <is>
          <t>Rear wall camera to rack (AVer HUB30)</t>
        </is>
      </c>
      <c r="C7" s="9" t="inlineStr">
        <is>
          <t>USB extender over CAT6 x1 or x2, or fibre</t>
        </is>
      </c>
      <c r="D7" s="9" t="inlineStr">
        <is>
          <t>Approx. 42 ft - EXCEEDS USB 3.0 PASSIVE LIMIT. NO EXTENDER ON THE EQUIPMENT LIST.</t>
        </is>
      </c>
    </row>
    <row r="8">
      <c r="A8" s="7" t="inlineStr">
        <is>
          <t>HDMI-01</t>
        </is>
      </c>
      <c r="B8" s="7" t="inlineStr">
        <is>
          <t>Rack to 98" display 1</t>
        </is>
      </c>
      <c r="C8" s="7" t="inlineStr">
        <is>
          <t>HDMI, or NVX decoder at display</t>
        </is>
      </c>
      <c r="D8" s="7" t="inlineStr">
        <is>
          <t>Short run from the credenza directly below - see NVX assumption</t>
        </is>
      </c>
    </row>
    <row r="9">
      <c r="A9" s="7" t="inlineStr">
        <is>
          <t>HDMI-02</t>
        </is>
      </c>
      <c r="B9" s="7" t="inlineStr">
        <is>
          <t>Rack to 98" display 2</t>
        </is>
      </c>
      <c r="C9" s="7" t="inlineStr">
        <is>
          <t>HDMI, or NVX decoder at display</t>
        </is>
      </c>
      <c r="D9" s="7" t="inlineStr">
        <is>
          <t>Short run from the credenza directly below - see NVX assumption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20" customWidth="1" min="2" max="2"/>
    <col width="22" customWidth="1" min="3" max="3"/>
    <col width="12" customWidth="1" min="4" max="4"/>
  </cols>
  <sheetData>
    <row r="1">
      <c r="A1" s="1" t="inlineStr">
        <is>
          <t>ALLSHORES  |  EXECUTIVE BOARDROOM</t>
        </is>
      </c>
    </row>
    <row r="2">
      <c r="A2" s="2" t="inlineStr">
        <is>
          <t>SWITCH PORT COUNT</t>
        </is>
      </c>
    </row>
    <row r="5">
      <c r="A5" s="4" t="inlineStr"/>
      <c r="B5" s="4" t="inlineStr">
        <is>
          <t>SW-1  GSM4212UX</t>
        </is>
      </c>
      <c r="C5" s="4" t="inlineStr">
        <is>
          <t>SW-2  24-PORT M4250</t>
        </is>
      </c>
      <c r="D5" s="4" t="inlineStr">
        <is>
          <t>TOTAL</t>
        </is>
      </c>
    </row>
    <row r="6">
      <c r="A6" s="10" t="inlineStr">
        <is>
          <t>Field drops on this switch</t>
        </is>
      </c>
      <c r="B6" s="11">
        <f>COUNTIF('Field Drops'!G6:G19,"SW-1*")</f>
        <v/>
      </c>
      <c r="C6" s="11">
        <f>COUNTIF('Field Drops'!G6:G19,"SW-2*")</f>
        <v/>
      </c>
      <c r="D6" s="11">
        <f>B6+C6</f>
        <v/>
      </c>
    </row>
    <row r="7">
      <c r="A7" s="10" t="inlineStr">
        <is>
          <t>Rack internal on this switch</t>
        </is>
      </c>
      <c r="B7" s="11">
        <f>COUNTIF('Rack Internal'!D6:D24,"SW-1*")</f>
        <v/>
      </c>
      <c r="C7" s="11">
        <f>COUNTIF('Rack Internal'!D6:D24,"SW-2*")</f>
        <v/>
      </c>
      <c r="D7" s="11">
        <f>B7+C7</f>
        <v/>
      </c>
    </row>
    <row r="8">
      <c r="A8" s="12" t="inlineStr">
        <is>
          <t>PORTS USED</t>
        </is>
      </c>
      <c r="B8" s="13">
        <f>B6+B7</f>
        <v/>
      </c>
      <c r="C8" s="13">
        <f>C6+C7</f>
        <v/>
      </c>
      <c r="D8" s="13">
        <f>B8+C8</f>
        <v/>
      </c>
    </row>
    <row r="9">
      <c r="A9" s="10" t="inlineStr">
        <is>
          <t>Copper ports available</t>
        </is>
      </c>
      <c r="B9" s="11" t="n">
        <v>10</v>
      </c>
      <c r="C9" s="11" t="n">
        <v>26</v>
      </c>
      <c r="D9" s="11">
        <f>B9+C9</f>
        <v/>
      </c>
    </row>
    <row r="10">
      <c r="A10" s="12" t="inlineStr">
        <is>
          <t>SPARE</t>
        </is>
      </c>
      <c r="B10" s="13">
        <f>B9-B8</f>
        <v/>
      </c>
      <c r="C10" s="13">
        <f>C9-C8</f>
        <v/>
      </c>
      <c r="D10" s="13">
        <f>B10+C10</f>
        <v/>
      </c>
    </row>
    <row r="11">
      <c r="A11" s="14" t="inlineStr"/>
      <c r="B11" s="15" t="inlineStr"/>
      <c r="C11" s="15" t="inlineStr"/>
      <c r="D11" s="15" t="inlineStr"/>
    </row>
    <row r="12">
      <c r="A12" s="10" t="inlineStr">
        <is>
          <t>PoE ports used</t>
        </is>
      </c>
      <c r="B12" s="11">
        <f>COUNTIFS('Field Drops'!F6:F19,"PoE*",'Field Drops'!G6:G19,"SW-1*")</f>
        <v/>
      </c>
      <c r="C12" s="11">
        <f>COUNTIFS('Field Drops'!F6:F19,"PoE*",'Field Drops'!G6:G19,"SW-2*")</f>
        <v/>
      </c>
      <c r="D12" s="11">
        <f>B12+C12</f>
        <v/>
      </c>
    </row>
    <row r="13">
      <c r="A13" s="10" t="inlineStr">
        <is>
          <t>PoE ports available</t>
        </is>
      </c>
      <c r="B13" s="11" t="n">
        <v>8</v>
      </c>
      <c r="C13" s="11" t="n">
        <v>24</v>
      </c>
      <c r="D13" s="11">
        <f>B13+C13</f>
        <v/>
      </c>
    </row>
    <row r="14">
      <c r="A14" s="12" t="inlineStr">
        <is>
          <t>PoE SPARE</t>
        </is>
      </c>
      <c r="B14" s="13">
        <f>B13-B12</f>
        <v/>
      </c>
      <c r="C14" s="13">
        <f>C13-C12</f>
        <v/>
      </c>
      <c r="D14" s="13">
        <f>B14+C14</f>
        <v/>
      </c>
    </row>
    <row r="17">
      <c r="A17" s="8" t="inlineStr">
        <is>
          <t>Copper available: SW-1 = 8x PoE++ + 2x 1G. SW-2 = 24x PoE+ + 2x 1G. SFP+ carries the inter-switch link and can carry the house uplink.</t>
        </is>
      </c>
    </row>
    <row r="18">
      <c r="A18" s="8" t="inlineStr">
        <is>
          <t>Patch panel: 14 field drops on a 24-port panel. Rack internal connections bypass the panel entirely.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pane ySplit="5" topLeftCell="A6" activePane="bottomLeft" state="frozen"/>
      <selection pane="bottomLeft" activeCell="A1" sqref="A1"/>
    </sheetView>
  </sheetViews>
  <sheetFormatPr baseColWidth="8" defaultRowHeight="15"/>
  <cols>
    <col width="30" customWidth="1" min="1" max="1"/>
    <col width="105" customWidth="1" min="2" max="2"/>
  </cols>
  <sheetData>
    <row r="1">
      <c r="A1" s="1" t="inlineStr">
        <is>
          <t>ALLSHORES  |  EXECUTIVE BOARDROOM</t>
        </is>
      </c>
    </row>
    <row r="2">
      <c r="A2" s="2" t="inlineStr">
        <is>
          <t>ASSUMPTIONS AND OPEN ITEMS</t>
        </is>
      </c>
    </row>
    <row r="3">
      <c r="A3" s="3" t="inlineStr">
        <is>
          <t>Every one of these affects the patch list. Resolve before rough-in.</t>
        </is>
      </c>
    </row>
    <row r="5">
      <c r="A5" s="4" t="inlineStr">
        <is>
          <t>ITEM</t>
        </is>
      </c>
      <c r="B5" s="4" t="inlineStr">
        <is>
          <t>DETAIL</t>
        </is>
      </c>
    </row>
    <row r="6">
      <c r="A6" s="16" t="inlineStr">
        <is>
          <t>NVX topology</t>
        </is>
      </c>
      <c r="B6" s="7" t="inlineStr">
        <is>
          <t>The equipment list carries 6 chassis cards (4x E30C, 2x D30C) and 4 box endpoints (2x E30, 2x D30) for 3 sources and 3 displays. That does not balance. This list assumes the 2x D30C cards feed the two 98" displays over short HDMI from the credenza directly below, one D30 box sits at the 85" rear display, one E30 box serves the table BYOD input, and the remaining endpoints are spare. CONFIRM before rough-in - it changes which drops carry PoE.</t>
        </is>
      </c>
    </row>
    <row r="7">
      <c r="A7" s="16" t="inlineStr">
        <is>
          <t>Rear camera USB extension</t>
        </is>
      </c>
      <c r="B7" s="7" t="inlineStr">
        <is>
          <t>The rear CAM570 is roughly 42 ft from the rack. USB 3.0 will not run that distance passively. An extender - CAT6 or fibre - is required and does NOT appear on the equipment list. Same class of gap as the shade control. Pull the CAT6 for it now either way.</t>
        </is>
      </c>
    </row>
    <row r="8">
      <c r="A8" s="16" t="inlineStr">
        <is>
          <t>USB extender cable must not be patched</t>
        </is>
      </c>
      <c r="B8" s="7" t="inlineStr">
        <is>
          <t>USB-02 is a point-to-point run. If someone patches it into the switch it will not work and may be misread as a faulty extender. Label both ends DO NOT PATCH and keep it off the patch panel if practical.</t>
        </is>
      </c>
    </row>
    <row r="9">
      <c r="A9" s="16" t="inlineStr">
        <is>
          <t>Switch split</t>
        </is>
      </c>
      <c r="B9" s="7" t="inlineStr">
        <is>
          <t>SW-1 is the NETGEAR GSM4212UX already in stock: 8x Ultra90 PoE++ (720W), 2x 1G copper, 2x SFP+. It carries the 7 PoE field devices with 1 spare PoE port. SW-2 is a 24-port M4250 still to be ordered and carries the rack gear plus non-PoE field drops. One switch alone cannot do this - 28 ports are needed.</t>
        </is>
      </c>
    </row>
    <row r="10">
      <c r="A10" s="16" t="inlineStr">
        <is>
          <t>SW-2 spare capacity is thin</t>
        </is>
      </c>
      <c r="B10" s="7" t="inlineStr">
        <is>
          <t>21 of 24 ports used leaves 3 spare. If the WattBox quantities hold and anything is added later, specify the 48-port M4250 instead.</t>
        </is>
      </c>
    </row>
    <row r="11">
      <c r="A11" s="16" t="inlineStr">
        <is>
          <t>PoE budget is heavily oversubscribed</t>
        </is>
      </c>
      <c r="B11" s="7" t="inlineStr">
        <is>
          <t>Measured need is roughly 150W: 2 mics at ~13W, NVX endpoints at ~25W, touch panel at ~13W. The GSM4212UX supplies 720W. Nothing here needs Ultra90. Fine to use the in-stock unit, but do not buy a second.</t>
        </is>
      </c>
    </row>
    <row r="12">
      <c r="A12" s="16" t="inlineStr">
        <is>
          <t>Fan noise</t>
        </is>
      </c>
      <c r="B12" s="7" t="inlineStr">
        <is>
          <t>The GSM4212UX is fanless only below 45W of PoE draw. At ~150W the fans will run, inside a closed credenza cabinet in the boardroom. The AC-RRF7 roof fan is already specified so this is not new, but verify the acoustic result before the room is signed off.</t>
        </is>
      </c>
    </row>
    <row r="13">
      <c r="A13" s="16" t="inlineStr">
        <is>
          <t>WattBox quantities</t>
        </is>
      </c>
      <c r="B13" s="7" t="inlineStr">
        <is>
          <t>2x WB-800-IPVM-6 and 2x WB-250-IPW-2 appear on the list. Second floor equipment is excluded per direction, so some of these may belong to that room. Each one consumes a switch port - confirm the boardroom count.</t>
        </is>
      </c>
    </row>
    <row r="14">
      <c r="A14" s="16" t="inlineStr">
        <is>
          <t>AVer HUB30 control port</t>
        </is>
      </c>
      <c r="B14" s="7" t="inlineStr">
        <is>
          <t>Allowed one switch port here. Confirm the HUB30 actually presents a control LAN interface; if not, SW-2 gains a spare port.</t>
        </is>
      </c>
    </row>
    <row r="15">
      <c r="A15" s="16" t="inlineStr">
        <is>
          <t>Patch panel size</t>
        </is>
      </c>
      <c r="B15" s="7" t="inlineStr">
        <is>
          <t>14 field drops against a 24-port panel. The 24-port is correct and leaves healthy spare. Rack gear does not pass through the panel, so the 28 switch ports do not drive panel size.</t>
        </is>
      </c>
    </row>
    <row r="16">
      <c r="A16" s="16" t="inlineStr">
        <is>
          <t>Cable type</t>
        </is>
      </c>
      <c r="B16" s="7" t="inlineStr">
        <is>
          <t>CAT6 assumed throughout per the equipment list. If any run exceeds 295 ft, or 1G proves insufficient for NVX at the chosen bit rate, revisit. All runs here are well inside that.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2026-08-28T12:53:08Z</dcterms:created>
  <dcterms:modified xsi:type="dcterms:W3CDTF">2026-08-28T12:53:08Z</dcterms:modified>
</cp:coreProperties>
</file>